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%"/>
    <numFmt numFmtId="166" formatCode="$#,##0"/>
  </numFmts>
  <fonts count="13">
    <font>
      <name val="Calibri"/>
      <family val="2"/>
      <color theme="1"/>
      <sz val="11"/>
      <scheme val="minor"/>
    </font>
    <font>
      <name val="Arial"/>
      <b val="1"/>
      <color rgb="00990000"/>
      <sz val="14"/>
    </font>
    <font>
      <name val="Arial"/>
      <color rgb="00777777"/>
      <sz val="9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color rgb="00777777"/>
      <sz val="9"/>
    </font>
    <font>
      <name val="Arial"/>
      <b val="1"/>
      <color rgb="00990000"/>
      <sz val="13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99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6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2" fontId="6" fillId="0" borderId="1" pivotButton="0" quotePrefix="0" xfId="0"/>
    <xf numFmtId="2" fontId="7" fillId="0" borderId="0" pivotButton="0" quotePrefix="0" xfId="0"/>
    <xf numFmtId="165" fontId="6" fillId="0" borderId="1" pivotButton="0" quotePrefix="0" xfId="0"/>
    <xf numFmtId="0" fontId="8" fillId="3" borderId="0" pivotButton="0" quotePrefix="0" xfId="0"/>
    <xf numFmtId="0" fontId="0" fillId="3" borderId="0" pivotButton="0" quotePrefix="0" xfId="0"/>
    <xf numFmtId="164" fontId="7" fillId="0" borderId="1" pivotButton="0" quotePrefix="0" xfId="0"/>
    <xf numFmtId="166" fontId="9" fillId="4" borderId="1" pivotButton="0" quotePrefix="0" xfId="0"/>
    <xf numFmtId="166" fontId="0" fillId="4" borderId="1" pivotButton="0" quotePrefix="0" xfId="0"/>
    <xf numFmtId="164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3" customWidth="1" min="4" max="4"/>
  </cols>
  <sheetData>
    <row r="2">
      <c r="B2" s="1" t="inlineStr">
        <is>
          <t>FORGE ATLAS - KNIFE PRICING CALCULATOR</t>
        </is>
      </c>
    </row>
    <row r="3">
      <c r="B3" s="2" t="inlineStr">
        <is>
          <t>by AZ Custom Knives - v1.0 - July 2026</t>
        </is>
      </c>
    </row>
    <row r="4">
      <c r="B4" s="3" t="inlineStr">
        <is>
          <t>HOW TO USE: type your numbers in the BLUE cells only. Yellow cells are the answers. Black cells calculate themselves.</t>
        </is>
      </c>
    </row>
    <row r="6">
      <c r="B6" s="4" t="inlineStr">
        <is>
          <t>1 - MATERIALS (this build)</t>
        </is>
      </c>
      <c r="C6" s="5" t="n"/>
    </row>
    <row r="7">
      <c r="B7" s="6" t="inlineStr">
        <is>
          <t>Steel (bar / billet used)</t>
        </is>
      </c>
      <c r="C7" s="7" t="n">
        <v>28</v>
      </c>
    </row>
    <row r="8">
      <c r="B8" s="6" t="inlineStr">
        <is>
          <t>Handle material</t>
        </is>
      </c>
      <c r="C8" s="7" t="n">
        <v>35</v>
      </c>
    </row>
    <row r="9">
      <c r="B9" s="6" t="inlineStr">
        <is>
          <t>Pins, hardware, liners</t>
        </is>
      </c>
      <c r="C9" s="7" t="n">
        <v>12</v>
      </c>
    </row>
    <row r="10">
      <c r="B10" s="6" t="inlineStr">
        <is>
          <t>Consumables (belts, glue, finish, foil)</t>
        </is>
      </c>
      <c r="C10" s="7" t="n">
        <v>22</v>
      </c>
    </row>
    <row r="11">
      <c r="B11" s="6" t="inlineStr">
        <is>
          <t>Sheath materials</t>
        </is>
      </c>
      <c r="C11" s="7" t="n">
        <v>30</v>
      </c>
    </row>
    <row r="12">
      <c r="B12" s="6" t="inlineStr">
        <is>
          <t>Other / packaging</t>
        </is>
      </c>
      <c r="C12" s="7" t="n">
        <v>8</v>
      </c>
    </row>
    <row r="13">
      <c r="B13" s="8" t="inlineStr">
        <is>
          <t>Materials subtotal</t>
        </is>
      </c>
      <c r="C13" s="9">
        <f>SUM(C7:C12)</f>
        <v/>
      </c>
    </row>
    <row r="15">
      <c r="B15" s="4" t="inlineStr">
        <is>
          <t>2 - LABOUR</t>
        </is>
      </c>
      <c r="C15" s="5" t="n"/>
    </row>
    <row r="16">
      <c r="B16" s="6" t="inlineStr">
        <is>
          <t>Design / layout (hrs)</t>
        </is>
      </c>
      <c r="C16" s="10" t="n">
        <v>0.5</v>
      </c>
    </row>
    <row r="17">
      <c r="B17" s="6" t="inlineStr">
        <is>
          <t>Forge / profile (hrs)</t>
        </is>
      </c>
      <c r="C17" s="10" t="n">
        <v>1.5</v>
      </c>
    </row>
    <row r="18">
      <c r="B18" s="6" t="inlineStr">
        <is>
          <t>Grind (hrs)</t>
        </is>
      </c>
      <c r="C18" s="10" t="n">
        <v>2.5</v>
      </c>
    </row>
    <row r="19">
      <c r="B19" s="6" t="inlineStr">
        <is>
          <t>Heat treat (hrs)</t>
        </is>
      </c>
      <c r="C19" s="10" t="n">
        <v>1</v>
      </c>
    </row>
    <row r="20">
      <c r="B20" s="6" t="inlineStr">
        <is>
          <t>Handle (hrs)</t>
        </is>
      </c>
      <c r="C20" s="10" t="n">
        <v>2</v>
      </c>
    </row>
    <row r="21">
      <c r="B21" s="6" t="inlineStr">
        <is>
          <t>Finish / sharpen (hrs)</t>
        </is>
      </c>
      <c r="C21" s="10" t="n">
        <v>1</v>
      </c>
    </row>
    <row r="22">
      <c r="B22" s="6" t="inlineStr">
        <is>
          <t>Sheath (hrs)</t>
        </is>
      </c>
      <c r="C22" s="10" t="n">
        <v>1.5</v>
      </c>
    </row>
    <row r="23">
      <c r="B23" s="8" t="inlineStr">
        <is>
          <t>Total hours</t>
        </is>
      </c>
      <c r="C23" s="11">
        <f>SUM(C16:C22)</f>
        <v/>
      </c>
    </row>
    <row r="24">
      <c r="B24" s="6" t="inlineStr">
        <is>
          <t>Shop rate ($/hr - what your bench time is worth)</t>
        </is>
      </c>
      <c r="C24" s="7" t="n">
        <v>45</v>
      </c>
    </row>
    <row r="25">
      <c r="B25" s="8" t="inlineStr">
        <is>
          <t>Labour subtotal</t>
        </is>
      </c>
      <c r="C25" s="9">
        <f>C23*C24</f>
        <v/>
      </c>
    </row>
    <row r="27">
      <c r="B27" s="4" t="inlineStr">
        <is>
          <t>3 - OVERHEAD AND SELLING</t>
        </is>
      </c>
      <c r="C27" s="5" t="n"/>
    </row>
    <row r="28">
      <c r="B28" s="6" t="inlineStr">
        <is>
          <t>Overhead % (power, rent, insurance, tooling wear)</t>
        </is>
      </c>
      <c r="C28" s="12" t="n">
        <v>0.15</v>
      </c>
    </row>
    <row r="29">
      <c r="B29" s="6" t="inlineStr">
        <is>
          <t>Profit margin % (on top of all costs)</t>
        </is>
      </c>
      <c r="C29" s="12" t="n">
        <v>0.25</v>
      </c>
    </row>
    <row r="30">
      <c r="B30" s="6" t="inlineStr">
        <is>
          <t>Card fee % (Square online = 2.8%)</t>
        </is>
      </c>
      <c r="C30" s="12" t="n">
        <v>0.028</v>
      </c>
    </row>
    <row r="31">
      <c r="B31" s="6" t="inlineStr">
        <is>
          <t>Card flat fee (Square = $0.30)</t>
        </is>
      </c>
      <c r="C31" s="7" t="n">
        <v>0.3</v>
      </c>
    </row>
    <row r="33">
      <c r="B33" s="13" t="inlineStr">
        <is>
          <t>4 - THE ANSWERS</t>
        </is>
      </c>
      <c r="C33" s="14" t="n"/>
    </row>
    <row r="34">
      <c r="B34" s="8" t="inlineStr">
        <is>
          <t>True cost (materials + labour + overhead)</t>
        </is>
      </c>
      <c r="C34" s="15">
        <f>(C13+C25)*(1+C28)</f>
        <v/>
      </c>
    </row>
    <row r="35">
      <c r="B35" s="8" t="inlineStr">
        <is>
          <t>SUGGESTED PRICE (cost + margin, card fee built in)</t>
        </is>
      </c>
      <c r="C35" s="16">
        <f>ROUND((C34*(1+C29)+C31)/(1-C30),0)</f>
        <v/>
      </c>
    </row>
    <row r="36">
      <c r="B36" s="6" t="inlineStr">
        <is>
          <t>Wholesale / dealer price (60% of suggested)</t>
        </is>
      </c>
      <c r="C36" s="17">
        <f>ROUND(C35*0.6,0)</f>
        <v/>
      </c>
    </row>
    <row r="37">
      <c r="B37" s="6" t="inlineStr">
        <is>
          <t>Walk-away floor (never sell below this)</t>
        </is>
      </c>
      <c r="C37" s="17">
        <f>ROUND(C34*1.1,0)</f>
        <v/>
      </c>
    </row>
    <row r="38">
      <c r="B38" s="6" t="inlineStr">
        <is>
          <t>Effective $/hr at suggested price</t>
        </is>
      </c>
      <c r="C38" s="18">
        <f>IFERROR((C35*(1-C30)-C31-C13-(C13+C25)*C28)/C23,0)</f>
        <v/>
      </c>
    </row>
    <row r="40">
      <c r="B40" s="19" t="inlineStr">
        <is>
          <t>Example numbers = a realistic mid-size hunter. Replace every blue cell with your build.</t>
        </is>
      </c>
    </row>
    <row r="41">
      <c r="B41" s="2" t="inlineStr">
        <is>
          <t>(c) 2026 AZ Custom Knives Ltd - Personal + commercial use - resale of this file prohibited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20" t="inlineStr">
        <is>
          <t>FORGE ATLAS - PRICING CALCULATOR - HOW TO USE</t>
        </is>
      </c>
    </row>
    <row r="3">
      <c r="B3" s="6" t="inlineStr"/>
    </row>
    <row r="4">
      <c r="B4" s="21" t="inlineStr">
        <is>
          <t>1.  Only type in BLUE cells. Everything else calculates itself.</t>
        </is>
      </c>
    </row>
    <row r="5">
      <c r="B5" s="21" t="inlineStr">
        <is>
          <t>2.  Materials: what THIS build consumed - not what the full bar cost. Half the bar = half the price.</t>
        </is>
      </c>
    </row>
    <row r="6">
      <c r="B6" s="21" t="inlineStr">
        <is>
          <t>3.  Hours: bench time only, rounded to the quarter hour. The Forge Logbook pairs with this file.</t>
        </is>
      </c>
    </row>
    <row r="7">
      <c r="B7" s="21" t="inlineStr">
        <is>
          <t>4.  Shop rate: what an hour of your skill is worth - not minimum wage. $40-75/hr is the working range.</t>
        </is>
      </c>
    </row>
    <row r="8">
      <c r="B8" s="21" t="inlineStr">
        <is>
          <t>5.  Overhead: power, heat, insurance, belts you didn't count, machine wear. 12-20% is honest for a home shop.</t>
        </is>
      </c>
    </row>
    <row r="9">
      <c r="B9" s="21" t="inlineStr">
        <is>
          <t>6.  Margin: profit ON TOP of paying yourself. 20-35% is normal. 0% means you bought yourself a job.</t>
        </is>
      </c>
    </row>
    <row r="10">
      <c r="B10" s="21" t="inlineStr">
        <is>
          <t>7.  Card fees default to Square online (2.8% + $0.30). Cash sale? Set both fee cells to zero.</t>
        </is>
      </c>
    </row>
    <row r="11">
      <c r="B11" s="21" t="inlineStr">
        <is>
          <t>8.  THE ANSWERS: the yellow price has everything baked in. The floor is your never-go-below number.</t>
        </is>
      </c>
    </row>
    <row r="12">
      <c r="B12" s="6" t="inlineStr"/>
    </row>
    <row r="13">
      <c r="B13" s="21" t="inlineStr">
        <is>
          <t>The uncomfortable truth: if the suggested price feels too high, the fix is faster hours or cheaper</t>
        </is>
      </c>
    </row>
    <row r="14">
      <c r="B14" s="21" t="inlineStr">
        <is>
          <t>materials - never a smaller shop rate. Undercharging is the #1 way makers burn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2026-07-12T18:16:51Z</dcterms:created>
  <dcterms:modified xsi:type="dcterms:W3CDTF">2026-07-12T18:16:51Z</dcterms:modified>
</cp:coreProperties>
</file>